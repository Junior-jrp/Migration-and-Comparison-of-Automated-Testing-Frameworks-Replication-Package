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 (Indicators)" sheetId="1" r:id="rId5"/>
    <sheet state="visible" name="Rastreabilidade (Traceability)" sheetId="2" r:id="rId6"/>
  </sheets>
  <definedNames/>
  <calcPr/>
</workbook>
</file>

<file path=xl/sharedStrings.xml><?xml version="1.0" encoding="utf-8"?>
<sst xmlns="http://schemas.openxmlformats.org/spreadsheetml/2006/main" count="215" uniqueCount="132">
  <si>
    <t>Caso de teste / Test case</t>
  </si>
  <si>
    <t>Indicadores da migração</t>
  </si>
  <si>
    <t>Funcionalidade / Feature</t>
  </si>
  <si>
    <t>Status da migração / Migration status</t>
  </si>
  <si>
    <t>Métricas da suíte Robot original</t>
  </si>
  <si>
    <t>Observações / Notes</t>
  </si>
  <si>
    <t>Comparação estrutural (Robot x Cypress)</t>
  </si>
  <si>
    <t>Métrica</t>
  </si>
  <si>
    <t>Valor</t>
  </si>
  <si>
    <t>Dimensão</t>
  </si>
  <si>
    <t>Robot</t>
  </si>
  <si>
    <t>Cypress</t>
  </si>
  <si>
    <t>Arquivos .robot (test suites)</t>
  </si>
  <si>
    <t>Cadastro de empresa com dados válidos</t>
  </si>
  <si>
    <t>Arquivos de teste</t>
  </si>
  <si>
    <t>15</t>
  </si>
  <si>
    <t>CRUD Empresa</t>
  </si>
  <si>
    <t>49</t>
  </si>
  <si>
    <t>Casos de teste</t>
  </si>
  <si>
    <t>181</t>
  </si>
  <si>
    <t>161</t>
  </si>
  <si>
    <t>Palavras-chave customizadas</t>
  </si>
  <si>
    <t>LOC (testes)</t>
  </si>
  <si>
    <t>1.132</t>
  </si>
  <si>
    <t>4.413</t>
  </si>
  <si>
    <t>LOC (test suites)</t>
  </si>
  <si>
    <t>LOC auxiliares</t>
  </si>
  <si>
    <t>2.786</t>
  </si>
  <si>
    <t>~860</t>
  </si>
  <si>
    <t>LOC (steps)</t>
  </si>
  <si>
    <t>Flakiness média</t>
  </si>
  <si>
    <t>~35%</t>
  </si>
  <si>
    <t>~10%</t>
  </si>
  <si>
    <t>LOC (resources)</t>
  </si>
  <si>
    <t>LOC totais</t>
  </si>
  <si>
    <t>Sucesso</t>
  </si>
  <si>
    <t>Tradução direta; as asserções de criação e exibição do registro foram preservadas.</t>
  </si>
  <si>
    <t>Cadastro de empresa com CNPJ inválido</t>
  </si>
  <si>
    <t>Validação de formulário convertida sem perdas; a mensagem de erro é verificada.</t>
  </si>
  <si>
    <t>Cadastro de empresa com CNPJ já existente</t>
  </si>
  <si>
    <t>Parcial</t>
  </si>
  <si>
    <t>A tradução validava apenas a mensagem de erro; a verificação de unicidade no backend foi acrescentada na revisão (F2).</t>
  </si>
  <si>
    <t>Criação de categoria</t>
  </si>
  <si>
    <t>Categorias</t>
  </si>
  <si>
    <t>Fluxo CRUD curto, convertido sem ajustes.</t>
  </si>
  <si>
    <t>Por funcionalidade (ordem de processamento pela IA)</t>
  </si>
  <si>
    <t>Edição de categoria</t>
  </si>
  <si>
    <t>Funcionalidade</t>
  </si>
  <si>
    <t>Convertido corretamente; seletor textual substituído por identificador estável (F6).</t>
  </si>
  <si>
    <t>Complexidade</t>
  </si>
  <si>
    <t>Ordem</t>
  </si>
  <si>
    <t>Convertidos</t>
  </si>
  <si>
    <t>Incompletos</t>
  </si>
  <si>
    <t>Problemáticos</t>
  </si>
  <si>
    <t>%</t>
  </si>
  <si>
    <t>baixa</t>
  </si>
  <si>
    <t>Filtro de categorias por status</t>
  </si>
  <si>
    <t>Ignorado / Incorreto</t>
  </si>
  <si>
    <t>O filtro por status não foi gerado na primeira passagem; implementado manualmente (F4).</t>
  </si>
  <si>
    <t>Cadastro de produto</t>
  </si>
  <si>
    <t>Produtos</t>
  </si>
  <si>
    <t>Convertido sem ajustes; asserções de persistência preservadas.</t>
  </si>
  <si>
    <t>Filtro de produtos por nome e categoria</t>
  </si>
  <si>
    <t>Intermitência por interação antes do carregamento do componente; mitigada com espera explícita.</t>
  </si>
  <si>
    <t>Configuração de campos do produto</t>
  </si>
  <si>
    <t>Convertido corretamente.</t>
  </si>
  <si>
    <t>Carregamento da listagem de produtos</t>
  </si>
  <si>
    <t>O teste gerado verificava apenas o carregamento da tela, sem validação funcional; mantido como smoke test e complementado.</t>
  </si>
  <si>
    <t>Fornecedores</t>
  </si>
  <si>
    <t>Cadastro de fornecedor</t>
  </si>
  <si>
    <t>Dependência de pré-condição (empresa cadastrada) tratada no setup do teste.</t>
  </si>
  <si>
    <t>Lançamento de Estoque</t>
  </si>
  <si>
    <t>média</t>
  </si>
  <si>
    <t>Ativação de fornecedor</t>
  </si>
  <si>
    <t>Cotação</t>
  </si>
  <si>
    <t>Resposta de Fornecedor</t>
  </si>
  <si>
    <t>alta</t>
  </si>
  <si>
    <t>Filtro de fornecedores por nome</t>
  </si>
  <si>
    <t>Caso omitido na tradução automática (F4); adicionado manualmente.</t>
  </si>
  <si>
    <t>Realizar Pedidos</t>
  </si>
  <si>
    <t>Lançamento de estoque com múltiplos produtos</t>
  </si>
  <si>
    <t>Compra Manual</t>
  </si>
  <si>
    <t>A confirmação via notificação gerava intermitência; a verificação foi reforçada após ajuste de espera.</t>
  </si>
  <si>
    <t>Confirmação de Pedidos</t>
  </si>
  <si>
    <t>Edição de lançamento de estoque</t>
  </si>
  <si>
    <t>A tradução validava a mensagem de sucesso, mas não a atualização das quantidades; corrigido (F2).</t>
  </si>
  <si>
    <t>Finalização de Pedidos</t>
  </si>
  <si>
    <t>Verificação de quantidades anterior e atual</t>
  </si>
  <si>
    <t>Painel Gerencial</t>
  </si>
  <si>
    <t>A regra de cálculo não foi preservada; reescrito a partir do teste original (F2).</t>
  </si>
  <si>
    <t>Total</t>
  </si>
  <si>
    <t>Filtro da cotação por status</t>
  </si>
  <si>
    <t>-</t>
  </si>
  <si>
    <t>Convertido sem ajustes.</t>
  </si>
  <si>
    <t>Remoção de produto da cotação</t>
  </si>
  <si>
    <t>A remoção na interface foi verificada; o efeito correspondente no backend exigiu asserção adicional.</t>
  </si>
  <si>
    <t>Resposta de cotação pelo fornecedor</t>
  </si>
  <si>
    <t>Fluxo multi-etapa convertido; as asserções de preço foram preservadas.</t>
  </si>
  <si>
    <t>Edição de resposta de fornecedor</t>
  </si>
  <si>
    <t>Convertidos / Robot = cobertura aceitável (74,8%); Problemáticos = não convertidos + incompletos.</t>
  </si>
  <si>
    <t>Cobertura reduzida: parte das validações intermediárias foi reintroduzida na revisão.</t>
  </si>
  <si>
    <t>Bloqueio de produto desativado em cotação</t>
  </si>
  <si>
    <t>Caso retornado apenas parcialmente pela IA; completado manualmente (F4).</t>
  </si>
  <si>
    <t>Geração de pedido a partir da cotação</t>
  </si>
  <si>
    <t>Geração de pedido com quantidade abaixo do mínimo</t>
  </si>
  <si>
    <t>A regra de bloqueio por quantidade mínima não era plenamente verificada; asserção ajustada (F2).</t>
  </si>
  <si>
    <t>Geração dos pedidos remanescentes</t>
  </si>
  <si>
    <t>A dependência de estado acumulado dificultou a tradução; reescrito.</t>
  </si>
  <si>
    <t>Geração de compra manual de produto pendente</t>
  </si>
  <si>
    <t>Fluxo com forte dependência de contexto; a tradução perdeu etapas e foi reescrita (F2).</t>
  </si>
  <si>
    <t>Compra manual de produto em cotação</t>
  </si>
  <si>
    <t>A verificação da retirada do produto da cotação foi acrescentada na revisão.</t>
  </si>
  <si>
    <t>Compra manual de produto em pedido parcial</t>
  </si>
  <si>
    <t>Caso não coberto adequadamente na primeira passagem; reescrito.</t>
  </si>
  <si>
    <t>Confirmação de pedido de compra</t>
  </si>
  <si>
    <t>A criação do pedido era verificada; a confirmação da mudança de status exigiu asserção adicional (F2).</t>
  </si>
  <si>
    <t>Edição de quantidade disponível na confirmação</t>
  </si>
  <si>
    <t>Caso omitido pela tradução automática (F4); implementado manualmente.</t>
  </si>
  <si>
    <t>Devolução de pedido e retorno à edição da resposta</t>
  </si>
  <si>
    <t>Fluxo de devolução complexo; reescrito a partir do teste Robot.</t>
  </si>
  <si>
    <t>Finalização de pedido com atualização de preços</t>
  </si>
  <si>
    <t>A tradução validava apenas a mensagem de sucesso, sem confirmar a atualização de preços nem a mudança de status; reescrito (F2).</t>
  </si>
  <si>
    <t>Finalização de pedido sem alteração da nota</t>
  </si>
  <si>
    <t>Convertido, porém com cobertura reduzida das validações da nota.</t>
  </si>
  <si>
    <t>Finalização de pedido com item de compra manual</t>
  </si>
  <si>
    <t>Dependência de fluxos anteriores; reescrito.</t>
  </si>
  <si>
    <t>Indicadores consolidados do painel</t>
  </si>
  <si>
    <t>As agregações dependem de muito estado prévio; a tradução automática não cobriu o caso (F4), reescrito do zero.</t>
  </si>
  <si>
    <t>Filtro por período no painel</t>
  </si>
  <si>
    <t>Caso omitido na primeira passagem; adicionado manualmente.</t>
  </si>
  <si>
    <t>Exportação de relatório do painel</t>
  </si>
  <si>
    <t>A geração do relatório foi verificada; a conferência do conteúdo exportado ficou pendente de reforço.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</si>
</sst>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1.0"/>
      <color theme="1"/>
      <name val="Calibri"/>
      <scheme val="minor"/>
    </font>
    <font>
      <b/>
      <sz val="26.0"/>
      <color rgb="FFFFFFFF"/>
      <name val="Arial"/>
    </font>
    <font>
      <b/>
      <color rgb="FFFFFFFF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i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5.29"/>
    <col customWidth="1" min="3" max="3" width="9.43"/>
    <col customWidth="1" min="4" max="4" width="9.0"/>
    <col customWidth="1" min="5" max="5" width="14.0"/>
    <col customWidth="1" min="6" max="6" width="13.86"/>
    <col customWidth="1" min="7" max="7" width="14.71"/>
    <col customWidth="1" min="8" max="8" width="8.0"/>
    <col customWidth="1" min="9" max="26" width="8.71"/>
  </cols>
  <sheetData>
    <row r="1">
      <c r="A1" s="1" t="s">
        <v>1</v>
      </c>
    </row>
    <row r="3">
      <c r="A3" s="3" t="s">
        <v>4</v>
      </c>
      <c r="E3" s="3" t="s">
        <v>6</v>
      </c>
    </row>
    <row r="4" ht="25.5" customHeight="1">
      <c r="A4" s="6" t="s">
        <v>7</v>
      </c>
      <c r="B4" s="6" t="s">
        <v>8</v>
      </c>
      <c r="E4" s="6" t="s">
        <v>9</v>
      </c>
      <c r="F4" s="6" t="s">
        <v>10</v>
      </c>
      <c r="G4" s="6" t="s">
        <v>11</v>
      </c>
    </row>
    <row r="5">
      <c r="A5" s="7" t="s">
        <v>12</v>
      </c>
      <c r="B5" s="9">
        <v>15.0</v>
      </c>
      <c r="E5" s="7" t="s">
        <v>14</v>
      </c>
      <c r="F5" s="9" t="s">
        <v>15</v>
      </c>
      <c r="G5" s="9" t="s">
        <v>17</v>
      </c>
    </row>
    <row r="6">
      <c r="A6" s="7" t="s">
        <v>18</v>
      </c>
      <c r="B6" s="9">
        <v>181.0</v>
      </c>
      <c r="E6" s="7" t="s">
        <v>18</v>
      </c>
      <c r="F6" s="9" t="s">
        <v>19</v>
      </c>
      <c r="G6" s="9" t="s">
        <v>20</v>
      </c>
    </row>
    <row r="7">
      <c r="A7" s="7" t="s">
        <v>21</v>
      </c>
      <c r="B7" s="9">
        <v>246.0</v>
      </c>
      <c r="E7" s="7" t="s">
        <v>22</v>
      </c>
      <c r="F7" s="9" t="s">
        <v>23</v>
      </c>
      <c r="G7" s="9" t="s">
        <v>24</v>
      </c>
    </row>
    <row r="8">
      <c r="A8" s="7" t="s">
        <v>25</v>
      </c>
      <c r="B8" s="9">
        <v>1132.0</v>
      </c>
      <c r="E8" s="7" t="s">
        <v>26</v>
      </c>
      <c r="F8" s="9" t="s">
        <v>27</v>
      </c>
      <c r="G8" s="9" t="s">
        <v>28</v>
      </c>
    </row>
    <row r="9">
      <c r="A9" s="7" t="s">
        <v>29</v>
      </c>
      <c r="B9" s="9">
        <v>2292.0</v>
      </c>
      <c r="E9" s="7" t="s">
        <v>30</v>
      </c>
      <c r="F9" s="9" t="s">
        <v>31</v>
      </c>
      <c r="G9" s="9" t="s">
        <v>32</v>
      </c>
    </row>
    <row r="10">
      <c r="A10" s="7" t="s">
        <v>33</v>
      </c>
      <c r="B10" s="9">
        <v>494.0</v>
      </c>
    </row>
    <row r="11">
      <c r="A11" s="11" t="s">
        <v>34</v>
      </c>
      <c r="B11" s="13">
        <f>B8+B9+B10</f>
        <v>3918</v>
      </c>
    </row>
    <row r="14" ht="15.75" customHeight="1">
      <c r="A14" s="3" t="s">
        <v>45</v>
      </c>
    </row>
    <row r="15" ht="25.5" customHeight="1">
      <c r="A15" s="6" t="s">
        <v>47</v>
      </c>
      <c r="B15" s="6" t="s">
        <v>49</v>
      </c>
      <c r="C15" s="6" t="s">
        <v>50</v>
      </c>
      <c r="D15" s="6" t="s">
        <v>10</v>
      </c>
      <c r="E15" s="6" t="s">
        <v>51</v>
      </c>
      <c r="F15" s="6" t="s">
        <v>52</v>
      </c>
      <c r="G15" s="6" t="s">
        <v>53</v>
      </c>
      <c r="H15" s="6" t="s">
        <v>54</v>
      </c>
    </row>
    <row r="16" ht="15.75" customHeight="1">
      <c r="A16" s="7" t="s">
        <v>16</v>
      </c>
      <c r="B16" s="9" t="s">
        <v>55</v>
      </c>
      <c r="C16" s="9">
        <v>1.0</v>
      </c>
      <c r="D16" s="9">
        <v>18.0</v>
      </c>
      <c r="E16" s="9">
        <v>18.0</v>
      </c>
      <c r="F16" s="9">
        <v>0.0</v>
      </c>
      <c r="G16" s="9">
        <f t="shared" ref="G16:G27" si="1">D16-E16+F16</f>
        <v>0</v>
      </c>
      <c r="H16" s="15">
        <f t="shared" ref="H16:H28" si="2">IF(D16=0,0,G16/D16)</f>
        <v>0</v>
      </c>
    </row>
    <row r="17" ht="15.75" customHeight="1">
      <c r="A17" s="7" t="s">
        <v>43</v>
      </c>
      <c r="B17" s="9" t="s">
        <v>55</v>
      </c>
      <c r="C17" s="9">
        <v>2.0</v>
      </c>
      <c r="D17" s="9">
        <v>11.0</v>
      </c>
      <c r="E17" s="9">
        <v>11.0</v>
      </c>
      <c r="F17" s="9">
        <v>1.0</v>
      </c>
      <c r="G17" s="9">
        <f t="shared" si="1"/>
        <v>1</v>
      </c>
      <c r="H17" s="15">
        <f t="shared" si="2"/>
        <v>0.09090909091</v>
      </c>
    </row>
    <row r="18" ht="15.75" customHeight="1">
      <c r="A18" s="7" t="s">
        <v>60</v>
      </c>
      <c r="B18" s="9" t="s">
        <v>55</v>
      </c>
      <c r="C18" s="9">
        <v>3.0</v>
      </c>
      <c r="D18" s="9">
        <v>22.0</v>
      </c>
      <c r="E18" s="9">
        <v>20.0</v>
      </c>
      <c r="F18" s="9">
        <v>0.0</v>
      </c>
      <c r="G18" s="9">
        <f t="shared" si="1"/>
        <v>2</v>
      </c>
      <c r="H18" s="15">
        <f t="shared" si="2"/>
        <v>0.09090909091</v>
      </c>
    </row>
    <row r="19" ht="15.75" customHeight="1">
      <c r="A19" s="7" t="s">
        <v>68</v>
      </c>
      <c r="B19" s="9" t="s">
        <v>55</v>
      </c>
      <c r="C19" s="9">
        <v>4.0</v>
      </c>
      <c r="D19" s="9">
        <v>14.0</v>
      </c>
      <c r="E19" s="9">
        <v>14.0</v>
      </c>
      <c r="F19" s="9">
        <v>0.0</v>
      </c>
      <c r="G19" s="9">
        <f t="shared" si="1"/>
        <v>0</v>
      </c>
      <c r="H19" s="15">
        <f t="shared" si="2"/>
        <v>0</v>
      </c>
    </row>
    <row r="20" ht="15.75" customHeight="1">
      <c r="A20" s="7" t="s">
        <v>71</v>
      </c>
      <c r="B20" s="9" t="s">
        <v>72</v>
      </c>
      <c r="C20" s="9">
        <v>5.0</v>
      </c>
      <c r="D20" s="9">
        <v>10.0</v>
      </c>
      <c r="E20" s="9">
        <v>7.0</v>
      </c>
      <c r="F20" s="9">
        <v>1.0</v>
      </c>
      <c r="G20" s="9">
        <f t="shared" si="1"/>
        <v>4</v>
      </c>
      <c r="H20" s="15">
        <f t="shared" si="2"/>
        <v>0.4</v>
      </c>
    </row>
    <row r="21" ht="15.75" customHeight="1">
      <c r="A21" s="7" t="s">
        <v>74</v>
      </c>
      <c r="B21" s="9" t="s">
        <v>72</v>
      </c>
      <c r="C21" s="9">
        <v>6.0</v>
      </c>
      <c r="D21" s="9">
        <v>2.0</v>
      </c>
      <c r="E21" s="9">
        <v>2.0</v>
      </c>
      <c r="F21" s="9">
        <v>0.0</v>
      </c>
      <c r="G21" s="9">
        <f t="shared" si="1"/>
        <v>0</v>
      </c>
      <c r="H21" s="15">
        <f t="shared" si="2"/>
        <v>0</v>
      </c>
    </row>
    <row r="22" ht="15.75" customHeight="1">
      <c r="A22" s="7" t="s">
        <v>75</v>
      </c>
      <c r="B22" s="9" t="s">
        <v>76</v>
      </c>
      <c r="C22" s="9">
        <v>7.0</v>
      </c>
      <c r="D22" s="9">
        <v>22.0</v>
      </c>
      <c r="E22" s="9">
        <v>21.0</v>
      </c>
      <c r="F22" s="9">
        <v>0.0</v>
      </c>
      <c r="G22" s="9">
        <f t="shared" si="1"/>
        <v>1</v>
      </c>
      <c r="H22" s="15">
        <f t="shared" si="2"/>
        <v>0.04545454545</v>
      </c>
    </row>
    <row r="23" ht="15.75" customHeight="1">
      <c r="A23" s="7" t="s">
        <v>79</v>
      </c>
      <c r="B23" s="9" t="s">
        <v>76</v>
      </c>
      <c r="C23" s="9">
        <v>8.0</v>
      </c>
      <c r="D23" s="9">
        <v>11.0</v>
      </c>
      <c r="E23" s="9">
        <v>11.0</v>
      </c>
      <c r="F23" s="9">
        <v>2.0</v>
      </c>
      <c r="G23" s="9">
        <f t="shared" si="1"/>
        <v>2</v>
      </c>
      <c r="H23" s="15">
        <f t="shared" si="2"/>
        <v>0.1818181818</v>
      </c>
    </row>
    <row r="24" ht="15.75" customHeight="1">
      <c r="A24" s="7" t="s">
        <v>81</v>
      </c>
      <c r="B24" s="9" t="s">
        <v>72</v>
      </c>
      <c r="C24" s="9">
        <v>9.0</v>
      </c>
      <c r="D24" s="9">
        <v>5.0</v>
      </c>
      <c r="E24" s="9">
        <v>1.0</v>
      </c>
      <c r="F24" s="9">
        <v>0.0</v>
      </c>
      <c r="G24" s="9">
        <f t="shared" si="1"/>
        <v>4</v>
      </c>
      <c r="H24" s="15">
        <f t="shared" si="2"/>
        <v>0.8</v>
      </c>
    </row>
    <row r="25" ht="15.75" customHeight="1">
      <c r="A25" s="7" t="s">
        <v>83</v>
      </c>
      <c r="B25" s="9" t="s">
        <v>76</v>
      </c>
      <c r="C25" s="9">
        <v>10.0</v>
      </c>
      <c r="D25" s="9">
        <v>10.0</v>
      </c>
      <c r="E25" s="9">
        <v>3.0</v>
      </c>
      <c r="F25" s="9">
        <v>0.0</v>
      </c>
      <c r="G25" s="9">
        <f t="shared" si="1"/>
        <v>7</v>
      </c>
      <c r="H25" s="15">
        <f t="shared" si="2"/>
        <v>0.7</v>
      </c>
    </row>
    <row r="26" ht="15.75" customHeight="1">
      <c r="A26" s="7" t="s">
        <v>86</v>
      </c>
      <c r="B26" s="9" t="s">
        <v>76</v>
      </c>
      <c r="C26" s="9">
        <v>11.0</v>
      </c>
      <c r="D26" s="9">
        <v>11.0</v>
      </c>
      <c r="E26" s="9">
        <v>5.0</v>
      </c>
      <c r="F26" s="9">
        <v>2.0</v>
      </c>
      <c r="G26" s="9">
        <f t="shared" si="1"/>
        <v>8</v>
      </c>
      <c r="H26" s="15">
        <f t="shared" si="2"/>
        <v>0.7272727273</v>
      </c>
    </row>
    <row r="27" ht="15.75" customHeight="1">
      <c r="A27" s="7" t="s">
        <v>88</v>
      </c>
      <c r="B27" s="9" t="s">
        <v>76</v>
      </c>
      <c r="C27" s="9">
        <v>12.0</v>
      </c>
      <c r="D27" s="9">
        <v>15.0</v>
      </c>
      <c r="E27" s="9">
        <v>0.0</v>
      </c>
      <c r="F27" s="9">
        <v>0.0</v>
      </c>
      <c r="G27" s="9">
        <f t="shared" si="1"/>
        <v>15</v>
      </c>
      <c r="H27" s="15">
        <f t="shared" si="2"/>
        <v>1</v>
      </c>
    </row>
    <row r="28" ht="15.75" customHeight="1">
      <c r="A28" s="11" t="s">
        <v>90</v>
      </c>
      <c r="B28" s="16" t="s">
        <v>92</v>
      </c>
      <c r="C28" s="16" t="s">
        <v>92</v>
      </c>
      <c r="D28" s="13">
        <f t="shared" ref="D28:G28" si="3">SUM(D16:D27)</f>
        <v>151</v>
      </c>
      <c r="E28" s="13">
        <f t="shared" si="3"/>
        <v>113</v>
      </c>
      <c r="F28" s="13">
        <f t="shared" si="3"/>
        <v>6</v>
      </c>
      <c r="G28" s="13">
        <f t="shared" si="3"/>
        <v>44</v>
      </c>
      <c r="H28" s="17">
        <f t="shared" si="2"/>
        <v>0.2913907285</v>
      </c>
    </row>
    <row r="29" ht="15.75" customHeight="1">
      <c r="A29" s="18" t="s">
        <v>99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5">
    <mergeCell ref="A1:H1"/>
    <mergeCell ref="A3:B3"/>
    <mergeCell ref="E3:G3"/>
    <mergeCell ref="A14:H14"/>
    <mergeCell ref="A29:H2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6.0"/>
    <col customWidth="1" min="2" max="2" width="37.57"/>
    <col customWidth="1" min="3" max="3" width="51.29"/>
    <col customWidth="1" min="4" max="4" width="48.0"/>
    <col customWidth="1" min="5" max="5" width="14.0"/>
    <col customWidth="1" min="6" max="26" width="8.71"/>
  </cols>
  <sheetData>
    <row r="1" ht="25.5" customHeight="1">
      <c r="A1" s="2" t="s">
        <v>0</v>
      </c>
      <c r="B1" s="2" t="s">
        <v>2</v>
      </c>
      <c r="C1" s="2" t="s">
        <v>3</v>
      </c>
      <c r="D1" s="2" t="s">
        <v>5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13</v>
      </c>
      <c r="B2" s="10" t="s">
        <v>16</v>
      </c>
      <c r="C2" s="12" t="s">
        <v>35</v>
      </c>
      <c r="D2" s="8" t="s">
        <v>36</v>
      </c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37</v>
      </c>
      <c r="B3" s="10" t="s">
        <v>16</v>
      </c>
      <c r="C3" s="12" t="s">
        <v>35</v>
      </c>
      <c r="D3" s="8" t="s">
        <v>38</v>
      </c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 t="s">
        <v>39</v>
      </c>
      <c r="B4" s="10" t="s">
        <v>16</v>
      </c>
      <c r="C4" s="12" t="s">
        <v>40</v>
      </c>
      <c r="D4" s="8" t="s">
        <v>41</v>
      </c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42</v>
      </c>
      <c r="B5" s="10" t="s">
        <v>43</v>
      </c>
      <c r="C5" s="12" t="s">
        <v>35</v>
      </c>
      <c r="D5" s="8" t="s">
        <v>44</v>
      </c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 t="s">
        <v>46</v>
      </c>
      <c r="B6" s="10" t="s">
        <v>43</v>
      </c>
      <c r="C6" s="12" t="s">
        <v>35</v>
      </c>
      <c r="D6" s="8" t="s">
        <v>48</v>
      </c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 t="s">
        <v>56</v>
      </c>
      <c r="B7" s="10" t="s">
        <v>43</v>
      </c>
      <c r="C7" s="14" t="s">
        <v>57</v>
      </c>
      <c r="D7" s="8" t="s">
        <v>58</v>
      </c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 t="s">
        <v>59</v>
      </c>
      <c r="B8" s="10" t="s">
        <v>60</v>
      </c>
      <c r="C8" s="12" t="s">
        <v>35</v>
      </c>
      <c r="D8" s="8" t="s">
        <v>61</v>
      </c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 t="s">
        <v>62</v>
      </c>
      <c r="B9" s="10" t="s">
        <v>60</v>
      </c>
      <c r="C9" s="12" t="s">
        <v>40</v>
      </c>
      <c r="D9" s="8" t="s">
        <v>63</v>
      </c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 t="s">
        <v>64</v>
      </c>
      <c r="B10" s="10" t="s">
        <v>60</v>
      </c>
      <c r="C10" s="12" t="s">
        <v>35</v>
      </c>
      <c r="D10" s="8" t="s">
        <v>65</v>
      </c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 t="s">
        <v>66</v>
      </c>
      <c r="B11" s="10" t="s">
        <v>60</v>
      </c>
      <c r="C11" s="12" t="s">
        <v>40</v>
      </c>
      <c r="D11" s="8" t="s">
        <v>67</v>
      </c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69</v>
      </c>
      <c r="B12" s="10" t="s">
        <v>68</v>
      </c>
      <c r="C12" s="12" t="s">
        <v>35</v>
      </c>
      <c r="D12" s="8" t="s">
        <v>70</v>
      </c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 t="s">
        <v>73</v>
      </c>
      <c r="B13" s="10" t="s">
        <v>68</v>
      </c>
      <c r="C13" s="12" t="s">
        <v>35</v>
      </c>
      <c r="D13" s="8" t="s">
        <v>65</v>
      </c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 t="s">
        <v>77</v>
      </c>
      <c r="B14" s="10" t="s">
        <v>68</v>
      </c>
      <c r="C14" s="14" t="s">
        <v>57</v>
      </c>
      <c r="D14" s="8" t="s">
        <v>78</v>
      </c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8" t="s">
        <v>80</v>
      </c>
      <c r="B15" s="10" t="s">
        <v>71</v>
      </c>
      <c r="C15" s="12" t="s">
        <v>40</v>
      </c>
      <c r="D15" s="8" t="s">
        <v>82</v>
      </c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8" t="s">
        <v>84</v>
      </c>
      <c r="B16" s="10" t="s">
        <v>71</v>
      </c>
      <c r="C16" s="12" t="s">
        <v>40</v>
      </c>
      <c r="D16" s="8" t="s">
        <v>85</v>
      </c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8" t="s">
        <v>87</v>
      </c>
      <c r="B17" s="10" t="s">
        <v>71</v>
      </c>
      <c r="C17" s="14" t="s">
        <v>57</v>
      </c>
      <c r="D17" s="8" t="s">
        <v>89</v>
      </c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8" t="s">
        <v>91</v>
      </c>
      <c r="B18" s="10" t="s">
        <v>74</v>
      </c>
      <c r="C18" s="12" t="s">
        <v>35</v>
      </c>
      <c r="D18" s="8" t="s">
        <v>93</v>
      </c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8" t="s">
        <v>94</v>
      </c>
      <c r="B19" s="10" t="s">
        <v>74</v>
      </c>
      <c r="C19" s="12" t="s">
        <v>40</v>
      </c>
      <c r="D19" s="8" t="s">
        <v>95</v>
      </c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8" t="s">
        <v>96</v>
      </c>
      <c r="B20" s="10" t="s">
        <v>75</v>
      </c>
      <c r="C20" s="12" t="s">
        <v>35</v>
      </c>
      <c r="D20" s="8" t="s">
        <v>97</v>
      </c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98</v>
      </c>
      <c r="B21" s="10" t="s">
        <v>75</v>
      </c>
      <c r="C21" s="12" t="s">
        <v>40</v>
      </c>
      <c r="D21" s="8" t="s">
        <v>100</v>
      </c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101</v>
      </c>
      <c r="B22" s="10" t="s">
        <v>75</v>
      </c>
      <c r="C22" s="14" t="s">
        <v>57</v>
      </c>
      <c r="D22" s="8" t="s">
        <v>102</v>
      </c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103</v>
      </c>
      <c r="B23" s="10" t="s">
        <v>79</v>
      </c>
      <c r="C23" s="12" t="s">
        <v>35</v>
      </c>
      <c r="D23" s="8" t="s">
        <v>65</v>
      </c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104</v>
      </c>
      <c r="B24" s="10" t="s">
        <v>79</v>
      </c>
      <c r="C24" s="12" t="s">
        <v>40</v>
      </c>
      <c r="D24" s="8" t="s">
        <v>105</v>
      </c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106</v>
      </c>
      <c r="B25" s="10" t="s">
        <v>79</v>
      </c>
      <c r="C25" s="14" t="s">
        <v>57</v>
      </c>
      <c r="D25" s="8" t="s">
        <v>107</v>
      </c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108</v>
      </c>
      <c r="B26" s="10" t="s">
        <v>81</v>
      </c>
      <c r="C26" s="14" t="s">
        <v>57</v>
      </c>
      <c r="D26" s="8" t="s">
        <v>109</v>
      </c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110</v>
      </c>
      <c r="B27" s="10" t="s">
        <v>81</v>
      </c>
      <c r="C27" s="12" t="s">
        <v>40</v>
      </c>
      <c r="D27" s="8" t="s">
        <v>111</v>
      </c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112</v>
      </c>
      <c r="B28" s="10" t="s">
        <v>81</v>
      </c>
      <c r="C28" s="14" t="s">
        <v>57</v>
      </c>
      <c r="D28" s="8" t="s">
        <v>113</v>
      </c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8" t="s">
        <v>114</v>
      </c>
      <c r="B29" s="10" t="s">
        <v>83</v>
      </c>
      <c r="C29" s="12" t="s">
        <v>40</v>
      </c>
      <c r="D29" s="8" t="s">
        <v>115</v>
      </c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" t="s">
        <v>116</v>
      </c>
      <c r="B30" s="10" t="s">
        <v>83</v>
      </c>
      <c r="C30" s="14" t="s">
        <v>57</v>
      </c>
      <c r="D30" s="8" t="s">
        <v>117</v>
      </c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8" t="s">
        <v>118</v>
      </c>
      <c r="B31" s="10" t="s">
        <v>83</v>
      </c>
      <c r="C31" s="14" t="s">
        <v>57</v>
      </c>
      <c r="D31" s="8" t="s">
        <v>119</v>
      </c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8" t="s">
        <v>120</v>
      </c>
      <c r="B32" s="10" t="s">
        <v>86</v>
      </c>
      <c r="C32" s="14" t="s">
        <v>57</v>
      </c>
      <c r="D32" s="8" t="s">
        <v>121</v>
      </c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8" t="s">
        <v>122</v>
      </c>
      <c r="B33" s="10" t="s">
        <v>86</v>
      </c>
      <c r="C33" s="12" t="s">
        <v>40</v>
      </c>
      <c r="D33" s="8" t="s">
        <v>123</v>
      </c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124</v>
      </c>
      <c r="B34" s="10" t="s">
        <v>86</v>
      </c>
      <c r="C34" s="14" t="s">
        <v>57</v>
      </c>
      <c r="D34" s="8" t="s">
        <v>125</v>
      </c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 t="s">
        <v>126</v>
      </c>
      <c r="B35" s="10" t="s">
        <v>88</v>
      </c>
      <c r="C35" s="14" t="s">
        <v>57</v>
      </c>
      <c r="D35" s="8" t="s">
        <v>127</v>
      </c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 t="s">
        <v>128</v>
      </c>
      <c r="B36" s="10" t="s">
        <v>88</v>
      </c>
      <c r="C36" s="14" t="s">
        <v>57</v>
      </c>
      <c r="D36" s="8" t="s">
        <v>129</v>
      </c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" t="s">
        <v>130</v>
      </c>
      <c r="B37" s="10" t="s">
        <v>88</v>
      </c>
      <c r="C37" s="12" t="s">
        <v>40</v>
      </c>
      <c r="D37" s="8" t="s">
        <v>131</v>
      </c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"/>
      <c r="B38" s="4"/>
      <c r="C38" s="4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4"/>
      <c r="B39" s="4"/>
      <c r="C39" s="4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4"/>
      <c r="B40" s="4"/>
      <c r="C40" s="4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4"/>
      <c r="B41" s="4"/>
      <c r="C41" s="4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4"/>
      <c r="B42" s="4"/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"/>
      <c r="B43" s="4"/>
      <c r="C43" s="4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"/>
      <c r="B44" s="4"/>
      <c r="C44" s="4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4"/>
      <c r="B45" s="4"/>
      <c r="C45" s="4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4"/>
      <c r="B46" s="4"/>
      <c r="C46" s="4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4"/>
      <c r="B47" s="4"/>
      <c r="C47" s="4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4"/>
      <c r="B48" s="4"/>
      <c r="C48" s="4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4"/>
      <c r="B49" s="4"/>
      <c r="C49" s="4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4"/>
      <c r="B50" s="4"/>
      <c r="C50" s="4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4"/>
      <c r="B51" s="4"/>
      <c r="C51" s="4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4"/>
      <c r="B52" s="4"/>
      <c r="C52" s="4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4"/>
      <c r="B53" s="4"/>
      <c r="C53" s="4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4"/>
      <c r="B54" s="4"/>
      <c r="C54" s="4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"/>
      <c r="B55" s="4"/>
      <c r="C55" s="4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"/>
      <c r="B56" s="4"/>
      <c r="C56" s="4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4"/>
      <c r="B57" s="4"/>
      <c r="C57" s="4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4"/>
      <c r="B58" s="4"/>
      <c r="C58" s="4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4"/>
      <c r="B59" s="4"/>
      <c r="C59" s="4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4"/>
      <c r="B60" s="4"/>
      <c r="C60" s="4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4"/>
      <c r="B61" s="4"/>
      <c r="C61" s="4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4"/>
      <c r="B62" s="4"/>
      <c r="C62" s="4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4"/>
      <c r="B63" s="4"/>
      <c r="C63" s="4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4"/>
      <c r="B64" s="4"/>
      <c r="C64" s="4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"/>
      <c r="B65" s="4"/>
      <c r="C65" s="4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"/>
      <c r="B66" s="4"/>
      <c r="C66" s="4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4"/>
      <c r="B67" s="4"/>
      <c r="C67" s="4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4"/>
      <c r="B68" s="4"/>
      <c r="C68" s="4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4"/>
      <c r="B69" s="4"/>
      <c r="C69" s="4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4"/>
      <c r="B70" s="4"/>
      <c r="C70" s="4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4"/>
      <c r="B71" s="4"/>
      <c r="C71" s="4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4"/>
      <c r="B72" s="4"/>
      <c r="C72" s="4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4"/>
      <c r="B73" s="4"/>
      <c r="C73" s="4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4"/>
      <c r="B74" s="4"/>
      <c r="C74" s="4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4"/>
      <c r="B75" s="4"/>
      <c r="C75" s="4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4"/>
      <c r="B76" s="4"/>
      <c r="C76" s="4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"/>
      <c r="B77" s="4"/>
      <c r="C77" s="4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4"/>
      <c r="B78" s="4"/>
      <c r="C78" s="4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4"/>
      <c r="B79" s="4"/>
      <c r="C79" s="4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4"/>
      <c r="B80" s="4"/>
      <c r="C80" s="4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4"/>
      <c r="B81" s="4"/>
      <c r="C81" s="4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4"/>
      <c r="B82" s="4"/>
      <c r="C82" s="4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4"/>
      <c r="B83" s="4"/>
      <c r="C83" s="4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4"/>
      <c r="B84" s="4"/>
      <c r="C84" s="4"/>
      <c r="D84" s="4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4"/>
      <c r="B85" s="4"/>
      <c r="C85" s="4"/>
      <c r="D85" s="4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4"/>
      <c r="B86" s="4"/>
      <c r="C86" s="4"/>
      <c r="D86" s="4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4"/>
      <c r="B87" s="4"/>
      <c r="C87" s="4"/>
      <c r="D87" s="4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4"/>
      <c r="B88" s="4"/>
      <c r="C88" s="4"/>
      <c r="D88" s="4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4"/>
      <c r="B89" s="4"/>
      <c r="C89" s="4"/>
      <c r="D89" s="4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4"/>
      <c r="B90" s="4"/>
      <c r="C90" s="4"/>
      <c r="D90" s="4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4"/>
      <c r="B91" s="4"/>
      <c r="C91" s="4"/>
      <c r="D91" s="4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4"/>
      <c r="B92" s="4"/>
      <c r="C92" s="4"/>
      <c r="D92" s="4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4"/>
      <c r="B93" s="4"/>
      <c r="C93" s="4"/>
      <c r="D93" s="4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4"/>
      <c r="B94" s="4"/>
      <c r="C94" s="4"/>
      <c r="D94" s="4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4"/>
      <c r="B95" s="4"/>
      <c r="C95" s="4"/>
      <c r="D95" s="4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4"/>
      <c r="B96" s="4"/>
      <c r="C96" s="4"/>
      <c r="D96" s="4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4"/>
      <c r="B97" s="4"/>
      <c r="C97" s="4"/>
      <c r="D97" s="4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4"/>
      <c r="B98" s="4"/>
      <c r="C98" s="4"/>
      <c r="D98" s="4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4"/>
      <c r="B99" s="4"/>
      <c r="C99" s="4"/>
      <c r="D99" s="4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4"/>
      <c r="B100" s="4"/>
      <c r="C100" s="4"/>
      <c r="D100" s="4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4"/>
      <c r="B101" s="4"/>
      <c r="C101" s="4"/>
      <c r="D101" s="4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4"/>
      <c r="B102" s="4"/>
      <c r="C102" s="4"/>
      <c r="D102" s="4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4"/>
      <c r="B103" s="4"/>
      <c r="C103" s="4"/>
      <c r="D103" s="4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4"/>
      <c r="B104" s="4"/>
      <c r="C104" s="4"/>
      <c r="D104" s="4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4"/>
      <c r="B105" s="4"/>
      <c r="C105" s="4"/>
      <c r="D105" s="4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4"/>
      <c r="B106" s="4"/>
      <c r="C106" s="4"/>
      <c r="D106" s="4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4"/>
      <c r="B107" s="4"/>
      <c r="C107" s="4"/>
      <c r="D107" s="4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4"/>
      <c r="B108" s="4"/>
      <c r="C108" s="4"/>
      <c r="D108" s="4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4"/>
      <c r="B109" s="4"/>
      <c r="C109" s="4"/>
      <c r="D109" s="4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4"/>
      <c r="B110" s="4"/>
      <c r="C110" s="4"/>
      <c r="D110" s="4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4"/>
      <c r="B111" s="4"/>
      <c r="C111" s="4"/>
      <c r="D111" s="4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</sheetData>
  <dataValidations>
    <dataValidation type="list" allowBlank="1" sqref="C2:C37">
      <formula1>"Sucesso,Parcial,Ignorado / Incorreto"</formula1>
    </dataValidation>
  </dataValidations>
  <printOptions/>
  <pageMargins bottom="1.0" footer="0.0" header="0.0" left="0.75" right="0.75" top="1.0"/>
  <pageSetup paperSize="9" orientation="portrait"/>
  <drawing r:id="rId1"/>
</worksheet>
</file>